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Xiaomi\"/>
    </mc:Choice>
  </mc:AlternateContent>
  <xr:revisionPtr revIDLastSave="0" documentId="13_ncr:1_{E93B57DC-FA97-4E81-9ED0-565146D451C4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Invoice_Data" sheetId="5" r:id="rId1"/>
    <sheet name="Invoice_Template" sheetId="2" r:id="rId2"/>
  </sheets>
  <definedNames>
    <definedName name="_xlnm._FilterDatabase" localSheetId="0" hidden="1">Invoice_Data!$A$6:$T$8</definedName>
    <definedName name="GG00000001_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86" i="5" l="1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G23" i="2" l="1"/>
  <c r="G16" i="2"/>
  <c r="G21" i="2" s="1"/>
  <c r="G25" i="2" l="1"/>
  <c r="E10" i="2"/>
  <c r="E11" i="2"/>
  <c r="P7" i="5"/>
  <c r="K7" i="5"/>
  <c r="E9" i="2"/>
  <c r="E16" i="2" l="1"/>
  <c r="G4" i="2"/>
  <c r="F9" i="2"/>
</calcChain>
</file>

<file path=xl/sharedStrings.xml><?xml version="1.0" encoding="utf-8"?>
<sst xmlns="http://schemas.openxmlformats.org/spreadsheetml/2006/main" count="59" uniqueCount="53">
  <si>
    <t>Total</t>
  </si>
  <si>
    <t>INVOICE</t>
  </si>
  <si>
    <t>BILL TO</t>
  </si>
  <si>
    <t>TOTAL</t>
  </si>
  <si>
    <t>SIGNATURE</t>
  </si>
  <si>
    <t>FIRST ID</t>
  </si>
  <si>
    <t>MAX ID</t>
  </si>
  <si>
    <t>Invoice ID</t>
  </si>
  <si>
    <t>Sub-Total</t>
  </si>
  <si>
    <t>Discount(%)</t>
  </si>
  <si>
    <t>Payment</t>
  </si>
  <si>
    <t>Cusomer Name</t>
  </si>
  <si>
    <t>Paid</t>
  </si>
  <si>
    <t>Cust Adress</t>
  </si>
  <si>
    <t>GST(%)</t>
  </si>
  <si>
    <t xml:space="preserve"> </t>
  </si>
  <si>
    <t>Mobile No</t>
  </si>
  <si>
    <t xml:space="preserve">SUBTOTAL </t>
  </si>
  <si>
    <t>Item ID</t>
  </si>
  <si>
    <t>Item Description</t>
  </si>
  <si>
    <t>Quantity</t>
  </si>
  <si>
    <t>Manufacturer/Seller Code</t>
  </si>
  <si>
    <t>Manufacturer name</t>
  </si>
  <si>
    <t>Order Status</t>
  </si>
  <si>
    <t>Shipped</t>
  </si>
  <si>
    <t>Delivered</t>
  </si>
  <si>
    <t>Date of Order</t>
  </si>
  <si>
    <t>Due</t>
  </si>
  <si>
    <t>Order Confirmed</t>
  </si>
  <si>
    <t>Payment Mode</t>
  </si>
  <si>
    <t>COD</t>
  </si>
  <si>
    <t>Credit Card</t>
  </si>
  <si>
    <t>Paytm</t>
  </si>
  <si>
    <t>Debit Card</t>
  </si>
  <si>
    <t>Netbanking</t>
  </si>
  <si>
    <t>DESCRIPTION</t>
  </si>
  <si>
    <t>GST(₹)</t>
  </si>
  <si>
    <t>ABC99999999</t>
  </si>
  <si>
    <t>F:\Harsha</t>
  </si>
  <si>
    <t>INVOICE No</t>
  </si>
  <si>
    <t>Xiomi - 2020 - 01</t>
  </si>
  <si>
    <t>Price (Rs.)</t>
  </si>
  <si>
    <r>
      <t xml:space="preserve">PHONE ZONE 87                                       </t>
    </r>
    <r>
      <rPr>
        <b/>
        <sz val="16"/>
        <color theme="1"/>
        <rFont val="Calibri"/>
        <family val="2"/>
        <scheme val="minor"/>
      </rPr>
      <t>Authorized Dealer for Xioami Sri Lanka</t>
    </r>
  </si>
  <si>
    <t>PRICE</t>
  </si>
  <si>
    <t>Rajitha Senadheera</t>
  </si>
  <si>
    <t>No.11/1 Godakalana</t>
  </si>
  <si>
    <t>Loluwagoda</t>
  </si>
  <si>
    <t>Redmi</t>
  </si>
  <si>
    <t>Redmi Note 8 (6/128)</t>
  </si>
  <si>
    <t>Discount(Rs)</t>
  </si>
  <si>
    <t xml:space="preserve"> DISCOUNT</t>
  </si>
  <si>
    <t>Qty</t>
  </si>
  <si>
    <t>(1 Year Warranty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</si>
</sst>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409]d\-mmm\-yy;@"/>
    <numFmt numFmtId="165" formatCode="mmmm\ d\ 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7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57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/>
    <xf numFmtId="0" fontId="1" fillId="0" borderId="0" xfId="0" applyFont="1" applyFill="1" applyBorder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center" wrapText="1"/>
    </xf>
    <xf numFmtId="2" fontId="0" fillId="0" borderId="0" xfId="0" applyNumberFormat="1" applyFill="1" applyAlignment="1">
      <alignment horizontal="center" wrapText="1"/>
    </xf>
    <xf numFmtId="0" fontId="0" fillId="0" borderId="0" xfId="0" applyFill="1" applyAlignment="1">
      <alignment horizontal="centerContinuous"/>
    </xf>
    <xf numFmtId="0" fontId="0" fillId="0" borderId="1" xfId="0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 applyAlignment="1">
      <alignment horizontal="center"/>
    </xf>
    <xf numFmtId="43" fontId="0" fillId="0" borderId="0" xfId="1" applyFont="1"/>
    <xf numFmtId="43" fontId="0" fillId="2" borderId="0" xfId="1" applyFont="1" applyFill="1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left" wrapText="1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right"/>
    </xf>
    <xf numFmtId="0" fontId="0" fillId="0" borderId="7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7" xfId="0" applyFill="1" applyBorder="1"/>
    <xf numFmtId="164" fontId="0" fillId="0" borderId="2" xfId="0" applyNumberFormat="1" applyFill="1" applyBorder="1" applyAlignment="1">
      <alignment horizontal="center"/>
    </xf>
    <xf numFmtId="43" fontId="0" fillId="0" borderId="2" xfId="1" applyFont="1" applyFill="1" applyBorder="1" applyAlignment="1">
      <alignment horizontal="left"/>
    </xf>
    <xf numFmtId="43" fontId="0" fillId="0" borderId="2" xfId="1" applyFont="1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3" xfId="0" applyFill="1" applyBorder="1"/>
    <xf numFmtId="49" fontId="0" fillId="0" borderId="0" xfId="0" applyNumberFormat="1" applyFill="1" applyBorder="1"/>
    <xf numFmtId="0" fontId="1" fillId="0" borderId="0" xfId="0" applyFont="1" applyFill="1" applyBorder="1"/>
    <xf numFmtId="0" fontId="0" fillId="0" borderId="4" xfId="0" applyFill="1" applyBorder="1" applyAlignment="1">
      <alignment wrapText="1"/>
    </xf>
    <xf numFmtId="0" fontId="5" fillId="0" borderId="4" xfId="0" applyFont="1" applyFill="1" applyBorder="1" applyAlignment="1">
      <alignment vertical="center" wrapText="1"/>
    </xf>
    <xf numFmtId="0" fontId="0" fillId="0" borderId="1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3" xfId="0" applyFill="1" applyBorder="1"/>
    <xf numFmtId="0" fontId="0" fillId="0" borderId="14" xfId="0" applyFill="1" applyBorder="1"/>
    <xf numFmtId="0" fontId="0" fillId="0" borderId="8" xfId="0" applyFill="1" applyBorder="1" applyAlignment="1">
      <alignment horizontal="right"/>
    </xf>
    <xf numFmtId="43" fontId="0" fillId="0" borderId="15" xfId="1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43" fontId="1" fillId="0" borderId="16" xfId="1" applyFont="1" applyFill="1" applyBorder="1" applyAlignment="1">
      <alignment horizontal="left"/>
    </xf>
    <xf numFmtId="0" fontId="4" fillId="4" borderId="7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6700"/>
      <color rgb="FFE16700"/>
      <color rgb="FFFF9900"/>
      <color rgb="FFFF5050"/>
      <color rgb="FFCC3300"/>
      <color rgb="FFFF3300"/>
      <color rgb="FFFF00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1</xdr:row>
          <xdr:rowOff>9525</xdr:rowOff>
        </xdr:from>
        <xdr:to>
          <xdr:col>4</xdr:col>
          <xdr:colOff>1352550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29</xdr:row>
      <xdr:rowOff>66675</xdr:rowOff>
    </xdr:from>
    <xdr:to>
      <xdr:col>7</xdr:col>
      <xdr:colOff>9525</xdr:colOff>
      <xdr:row>29</xdr:row>
      <xdr:rowOff>68263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>
          <a:off x="7667625" y="6562725"/>
          <a:ext cx="2924175" cy="1588"/>
        </a:xfrm>
        <a:prstGeom prst="line">
          <a:avLst/>
        </a:prstGeom>
        <a:ln w="19050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11</xdr:row>
          <xdr:rowOff>171450</xdr:rowOff>
        </xdr:from>
        <xdr:to>
          <xdr:col>1</xdr:col>
          <xdr:colOff>2114550</xdr:colOff>
          <xdr:row>14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171450</xdr:rowOff>
        </xdr:from>
        <xdr:to>
          <xdr:col>0</xdr:col>
          <xdr:colOff>1266825</xdr:colOff>
          <xdr:row>5</xdr:row>
          <xdr:rowOff>180975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142875</xdr:colOff>
      <xdr:row>0</xdr:row>
      <xdr:rowOff>66675</xdr:rowOff>
    </xdr:from>
    <xdr:to>
      <xdr:col>3</xdr:col>
      <xdr:colOff>971550</xdr:colOff>
      <xdr:row>0</xdr:row>
      <xdr:rowOff>895350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3025" y="66675"/>
          <a:ext cx="828675" cy="828675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0</xdr:row>
      <xdr:rowOff>28575</xdr:rowOff>
    </xdr:from>
    <xdr:to>
      <xdr:col>6</xdr:col>
      <xdr:colOff>1000125</xdr:colOff>
      <xdr:row>0</xdr:row>
      <xdr:rowOff>971550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4075" y="28575"/>
          <a:ext cx="942975" cy="9429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A86"/>
  <sheetViews>
    <sheetView topLeftCell="B1" workbookViewId="0">
      <selection activeCell="B8" sqref="B8"/>
    </sheetView>
  </sheetViews>
  <sheetFormatPr defaultRowHeight="15" x14ac:dyDescent="0.25"/>
  <cols>
    <col min="1" max="1" width="0" hidden="1" customWidth="1"/>
    <col min="2" max="2" width="15.42578125" bestFit="1" customWidth="1"/>
    <col min="3" max="4" width="19.7109375" customWidth="1"/>
    <col min="5" max="5" width="23.28515625" customWidth="1"/>
    <col min="6" max="6" width="19.7109375" customWidth="1"/>
    <col min="7" max="7" width="23.85546875" hidden="1" customWidth="1"/>
    <col min="8" max="8" width="23.85546875" customWidth="1"/>
    <col min="9" max="9" width="15.85546875" style="16" bestFit="1" customWidth="1"/>
    <col min="10" max="10" width="14.140625" hidden="1" customWidth="1"/>
    <col min="11" max="11" width="12" hidden="1" customWidth="1"/>
    <col min="12" max="12" width="15.42578125" hidden="1" customWidth="1"/>
    <col min="13" max="13" width="13.5703125" style="16" customWidth="1"/>
    <col min="14" max="14" width="15.28515625" style="3" hidden="1" customWidth="1"/>
    <col min="15" max="15" width="16.85546875" hidden="1" customWidth="1"/>
    <col min="16" max="16" width="10.5703125" bestFit="1" customWidth="1"/>
    <col min="17" max="17" width="17.7109375" hidden="1" customWidth="1"/>
    <col min="18" max="18" width="22.140625" hidden="1" customWidth="1"/>
    <col min="19" max="19" width="22.5703125" hidden="1" customWidth="1"/>
    <col min="20" max="20" width="31.85546875" hidden="1" customWidth="1"/>
    <col min="21" max="21" width="18" style="4" bestFit="1" customWidth="1"/>
    <col min="22" max="22" width="22.7109375" hidden="1" customWidth="1"/>
    <col min="25" max="25" width="19.28515625" customWidth="1"/>
    <col min="27" max="27" width="10.85546875" customWidth="1"/>
  </cols>
  <sheetData>
    <row r="1" spans="1:27" x14ac:dyDescent="0.25">
      <c r="Y1" t="s">
        <v>28</v>
      </c>
      <c r="Z1" t="s">
        <v>12</v>
      </c>
      <c r="AA1" t="s">
        <v>30</v>
      </c>
    </row>
    <row r="2" spans="1:27" x14ac:dyDescent="0.25">
      <c r="B2" s="7"/>
      <c r="Y2" t="s">
        <v>24</v>
      </c>
      <c r="Z2" t="s">
        <v>27</v>
      </c>
      <c r="AA2" t="s">
        <v>31</v>
      </c>
    </row>
    <row r="3" spans="1:27" x14ac:dyDescent="0.25">
      <c r="B3" s="1"/>
      <c r="C3" s="3"/>
      <c r="Y3" t="s">
        <v>25</v>
      </c>
      <c r="AA3" t="s">
        <v>32</v>
      </c>
    </row>
    <row r="4" spans="1:27" x14ac:dyDescent="0.25">
      <c r="B4" s="1"/>
      <c r="C4" t="s">
        <v>6</v>
      </c>
      <c r="D4" t="s">
        <v>37</v>
      </c>
      <c r="AA4" t="s">
        <v>33</v>
      </c>
    </row>
    <row r="5" spans="1:27" x14ac:dyDescent="0.25">
      <c r="AA5" t="s">
        <v>34</v>
      </c>
    </row>
    <row r="6" spans="1:27" x14ac:dyDescent="0.25">
      <c r="B6" s="5" t="s">
        <v>7</v>
      </c>
      <c r="C6" s="5" t="s">
        <v>11</v>
      </c>
      <c r="D6" s="5" t="s">
        <v>16</v>
      </c>
      <c r="E6" s="5" t="s">
        <v>13</v>
      </c>
      <c r="F6" s="5" t="s">
        <v>13</v>
      </c>
      <c r="G6" s="5" t="s">
        <v>18</v>
      </c>
      <c r="H6" s="5" t="s">
        <v>19</v>
      </c>
      <c r="I6" s="17" t="s">
        <v>41</v>
      </c>
      <c r="J6" s="2" t="s">
        <v>20</v>
      </c>
      <c r="K6" s="2" t="s">
        <v>8</v>
      </c>
      <c r="L6" s="5" t="s">
        <v>9</v>
      </c>
      <c r="M6" s="17" t="s">
        <v>49</v>
      </c>
      <c r="N6" s="5" t="s">
        <v>14</v>
      </c>
      <c r="O6" s="5" t="s">
        <v>36</v>
      </c>
      <c r="P6" s="5" t="s">
        <v>0</v>
      </c>
      <c r="Q6" s="5" t="s">
        <v>10</v>
      </c>
      <c r="R6" s="5" t="s">
        <v>23</v>
      </c>
      <c r="S6" s="5" t="s">
        <v>21</v>
      </c>
      <c r="T6" s="5" t="s">
        <v>22</v>
      </c>
      <c r="U6" s="5" t="s">
        <v>26</v>
      </c>
      <c r="V6" s="5" t="s">
        <v>29</v>
      </c>
    </row>
    <row r="7" spans="1:27" x14ac:dyDescent="0.25">
      <c r="A7" s="6" t="s">
        <v>5</v>
      </c>
      <c r="B7" s="15" t="s">
        <v>40</v>
      </c>
      <c r="C7" s="3" t="s">
        <v>44</v>
      </c>
      <c r="D7" s="3">
        <v>778176329</v>
      </c>
      <c r="E7" s="3" t="s">
        <v>45</v>
      </c>
      <c r="F7" s="3" t="s">
        <v>46</v>
      </c>
      <c r="G7" s="3" t="s">
        <v>47</v>
      </c>
      <c r="H7" s="3" t="s">
        <v>48</v>
      </c>
      <c r="I7" s="18">
        <v>49999</v>
      </c>
      <c r="J7" s="3">
        <v>1</v>
      </c>
      <c r="K7" s="19">
        <f>I7*J7</f>
        <v>49999</v>
      </c>
      <c r="L7" s="3"/>
      <c r="M7" s="18">
        <v>4999</v>
      </c>
      <c r="O7" s="3"/>
      <c r="P7" s="19">
        <f>I7-M7</f>
        <v>45000</v>
      </c>
      <c r="Q7" s="3" t="s">
        <v>12</v>
      </c>
      <c r="R7" s="3" t="s">
        <v>28</v>
      </c>
      <c r="S7" s="3"/>
      <c r="T7" s="3"/>
      <c r="U7" s="4">
        <v>43823</v>
      </c>
      <c r="V7" s="3" t="s">
        <v>30</v>
      </c>
    </row>
    <row r="8" spans="1:27" x14ac:dyDescent="0.25">
      <c r="B8" s="15"/>
      <c r="C8" s="3"/>
      <c r="D8" s="3"/>
      <c r="E8" s="3"/>
      <c r="F8" s="3"/>
      <c r="G8" s="3"/>
      <c r="H8" s="3"/>
      <c r="I8" s="18"/>
      <c r="K8" s="3"/>
      <c r="L8" s="3"/>
      <c r="M8" s="18"/>
      <c r="O8" s="3"/>
      <c r="P8" s="19">
        <f t="shared" ref="P8:P71" si="0">I8-M8</f>
        <v>0</v>
      </c>
      <c r="Q8" s="3"/>
      <c r="R8" s="3"/>
      <c r="S8" s="3"/>
      <c r="T8" s="3"/>
    </row>
    <row r="9" spans="1:27" x14ac:dyDescent="0.25">
      <c r="B9" s="15"/>
      <c r="D9" s="3"/>
      <c r="E9" s="3"/>
      <c r="P9" s="19">
        <f t="shared" si="0"/>
        <v>0</v>
      </c>
    </row>
    <row r="10" spans="1:27" x14ac:dyDescent="0.25">
      <c r="B10" s="15"/>
      <c r="E10" s="3"/>
      <c r="P10" s="19">
        <f t="shared" si="0"/>
        <v>0</v>
      </c>
    </row>
    <row r="11" spans="1:27" x14ac:dyDescent="0.25">
      <c r="B11" s="15"/>
      <c r="E11" s="3"/>
      <c r="P11" s="19">
        <f t="shared" si="0"/>
        <v>0</v>
      </c>
    </row>
    <row r="12" spans="1:27" x14ac:dyDescent="0.25">
      <c r="E12" s="3"/>
      <c r="P12" s="19">
        <f t="shared" si="0"/>
        <v>0</v>
      </c>
    </row>
    <row r="13" spans="1:27" x14ac:dyDescent="0.25">
      <c r="E13" s="3"/>
      <c r="P13" s="19">
        <f t="shared" si="0"/>
        <v>0</v>
      </c>
    </row>
    <row r="14" spans="1:27" x14ac:dyDescent="0.25">
      <c r="E14" s="3"/>
      <c r="P14" s="19">
        <f t="shared" si="0"/>
        <v>0</v>
      </c>
    </row>
    <row r="15" spans="1:27" x14ac:dyDescent="0.25">
      <c r="P15" s="19">
        <f t="shared" si="0"/>
        <v>0</v>
      </c>
    </row>
    <row r="16" spans="1:27" x14ac:dyDescent="0.25">
      <c r="P16" s="19">
        <f t="shared" si="0"/>
        <v>0</v>
      </c>
    </row>
    <row r="17" spans="16:16" x14ac:dyDescent="0.25">
      <c r="P17" s="19">
        <f t="shared" si="0"/>
        <v>0</v>
      </c>
    </row>
    <row r="18" spans="16:16" x14ac:dyDescent="0.25">
      <c r="P18" s="19">
        <f t="shared" si="0"/>
        <v>0</v>
      </c>
    </row>
    <row r="19" spans="16:16" x14ac:dyDescent="0.25">
      <c r="P19" s="19">
        <f t="shared" si="0"/>
        <v>0</v>
      </c>
    </row>
    <row r="20" spans="16:16" x14ac:dyDescent="0.25">
      <c r="P20" s="19">
        <f t="shared" si="0"/>
        <v>0</v>
      </c>
    </row>
    <row r="21" spans="16:16" x14ac:dyDescent="0.25">
      <c r="P21" s="19">
        <f t="shared" si="0"/>
        <v>0</v>
      </c>
    </row>
    <row r="22" spans="16:16" x14ac:dyDescent="0.25">
      <c r="P22" s="19">
        <f t="shared" si="0"/>
        <v>0</v>
      </c>
    </row>
    <row r="23" spans="16:16" x14ac:dyDescent="0.25">
      <c r="P23" s="19">
        <f t="shared" si="0"/>
        <v>0</v>
      </c>
    </row>
    <row r="24" spans="16:16" x14ac:dyDescent="0.25">
      <c r="P24" s="19">
        <f t="shared" si="0"/>
        <v>0</v>
      </c>
    </row>
    <row r="25" spans="16:16" x14ac:dyDescent="0.25">
      <c r="P25" s="19">
        <f t="shared" si="0"/>
        <v>0</v>
      </c>
    </row>
    <row r="26" spans="16:16" x14ac:dyDescent="0.25">
      <c r="P26" s="19">
        <f t="shared" si="0"/>
        <v>0</v>
      </c>
    </row>
    <row r="27" spans="16:16" x14ac:dyDescent="0.25">
      <c r="P27" s="19">
        <f t="shared" si="0"/>
        <v>0</v>
      </c>
    </row>
    <row r="28" spans="16:16" x14ac:dyDescent="0.25">
      <c r="P28" s="19">
        <f t="shared" si="0"/>
        <v>0</v>
      </c>
    </row>
    <row r="29" spans="16:16" x14ac:dyDescent="0.25">
      <c r="P29" s="19">
        <f t="shared" si="0"/>
        <v>0</v>
      </c>
    </row>
    <row r="30" spans="16:16" x14ac:dyDescent="0.25">
      <c r="P30" s="19">
        <f t="shared" si="0"/>
        <v>0</v>
      </c>
    </row>
    <row r="31" spans="16:16" x14ac:dyDescent="0.25">
      <c r="P31" s="19">
        <f t="shared" si="0"/>
        <v>0</v>
      </c>
    </row>
    <row r="32" spans="16:16" x14ac:dyDescent="0.25">
      <c r="P32" s="19">
        <f t="shared" si="0"/>
        <v>0</v>
      </c>
    </row>
    <row r="33" spans="16:16" x14ac:dyDescent="0.25">
      <c r="P33" s="19">
        <f t="shared" si="0"/>
        <v>0</v>
      </c>
    </row>
    <row r="34" spans="16:16" x14ac:dyDescent="0.25">
      <c r="P34" s="19">
        <f t="shared" si="0"/>
        <v>0</v>
      </c>
    </row>
    <row r="35" spans="16:16" x14ac:dyDescent="0.25">
      <c r="P35" s="19">
        <f t="shared" si="0"/>
        <v>0</v>
      </c>
    </row>
    <row r="36" spans="16:16" x14ac:dyDescent="0.25">
      <c r="P36" s="19">
        <f t="shared" si="0"/>
        <v>0</v>
      </c>
    </row>
    <row r="37" spans="16:16" x14ac:dyDescent="0.25">
      <c r="P37" s="19">
        <f t="shared" si="0"/>
        <v>0</v>
      </c>
    </row>
    <row r="38" spans="16:16" x14ac:dyDescent="0.25">
      <c r="P38" s="19">
        <f t="shared" si="0"/>
        <v>0</v>
      </c>
    </row>
    <row r="39" spans="16:16" x14ac:dyDescent="0.25">
      <c r="P39" s="19">
        <f t="shared" si="0"/>
        <v>0</v>
      </c>
    </row>
    <row r="40" spans="16:16" x14ac:dyDescent="0.25">
      <c r="P40" s="19">
        <f t="shared" si="0"/>
        <v>0</v>
      </c>
    </row>
    <row r="41" spans="16:16" x14ac:dyDescent="0.25">
      <c r="P41" s="19">
        <f t="shared" si="0"/>
        <v>0</v>
      </c>
    </row>
    <row r="42" spans="16:16" x14ac:dyDescent="0.25">
      <c r="P42" s="19">
        <f t="shared" si="0"/>
        <v>0</v>
      </c>
    </row>
    <row r="43" spans="16:16" x14ac:dyDescent="0.25">
      <c r="P43" s="19">
        <f t="shared" si="0"/>
        <v>0</v>
      </c>
    </row>
    <row r="44" spans="16:16" x14ac:dyDescent="0.25">
      <c r="P44" s="19">
        <f t="shared" si="0"/>
        <v>0</v>
      </c>
    </row>
    <row r="45" spans="16:16" x14ac:dyDescent="0.25">
      <c r="P45" s="19">
        <f t="shared" si="0"/>
        <v>0</v>
      </c>
    </row>
    <row r="46" spans="16:16" x14ac:dyDescent="0.25">
      <c r="P46" s="19">
        <f t="shared" si="0"/>
        <v>0</v>
      </c>
    </row>
    <row r="47" spans="16:16" x14ac:dyDescent="0.25">
      <c r="P47" s="19">
        <f t="shared" si="0"/>
        <v>0</v>
      </c>
    </row>
    <row r="48" spans="16:16" x14ac:dyDescent="0.25">
      <c r="P48" s="19">
        <f t="shared" si="0"/>
        <v>0</v>
      </c>
    </row>
    <row r="49" spans="16:16" x14ac:dyDescent="0.25">
      <c r="P49" s="19">
        <f t="shared" si="0"/>
        <v>0</v>
      </c>
    </row>
    <row r="50" spans="16:16" x14ac:dyDescent="0.25">
      <c r="P50" s="19">
        <f t="shared" si="0"/>
        <v>0</v>
      </c>
    </row>
    <row r="51" spans="16:16" x14ac:dyDescent="0.25">
      <c r="P51" s="19">
        <f t="shared" si="0"/>
        <v>0</v>
      </c>
    </row>
    <row r="52" spans="16:16" x14ac:dyDescent="0.25">
      <c r="P52" s="19">
        <f t="shared" si="0"/>
        <v>0</v>
      </c>
    </row>
    <row r="53" spans="16:16" x14ac:dyDescent="0.25">
      <c r="P53" s="19">
        <f t="shared" si="0"/>
        <v>0</v>
      </c>
    </row>
    <row r="54" spans="16:16" x14ac:dyDescent="0.25">
      <c r="P54" s="19">
        <f t="shared" si="0"/>
        <v>0</v>
      </c>
    </row>
    <row r="55" spans="16:16" x14ac:dyDescent="0.25">
      <c r="P55" s="19">
        <f t="shared" si="0"/>
        <v>0</v>
      </c>
    </row>
    <row r="56" spans="16:16" x14ac:dyDescent="0.25">
      <c r="P56" s="19">
        <f t="shared" si="0"/>
        <v>0</v>
      </c>
    </row>
    <row r="57" spans="16:16" x14ac:dyDescent="0.25">
      <c r="P57" s="19">
        <f t="shared" si="0"/>
        <v>0</v>
      </c>
    </row>
    <row r="58" spans="16:16" x14ac:dyDescent="0.25">
      <c r="P58" s="19">
        <f t="shared" si="0"/>
        <v>0</v>
      </c>
    </row>
    <row r="59" spans="16:16" x14ac:dyDescent="0.25">
      <c r="P59" s="19">
        <f t="shared" si="0"/>
        <v>0</v>
      </c>
    </row>
    <row r="60" spans="16:16" x14ac:dyDescent="0.25">
      <c r="P60" s="19">
        <f t="shared" si="0"/>
        <v>0</v>
      </c>
    </row>
    <row r="61" spans="16:16" x14ac:dyDescent="0.25">
      <c r="P61" s="19">
        <f t="shared" si="0"/>
        <v>0</v>
      </c>
    </row>
    <row r="62" spans="16:16" x14ac:dyDescent="0.25">
      <c r="P62" s="19">
        <f t="shared" si="0"/>
        <v>0</v>
      </c>
    </row>
    <row r="63" spans="16:16" x14ac:dyDescent="0.25">
      <c r="P63" s="19">
        <f t="shared" si="0"/>
        <v>0</v>
      </c>
    </row>
    <row r="64" spans="16:16" x14ac:dyDescent="0.25">
      <c r="P64" s="19">
        <f t="shared" si="0"/>
        <v>0</v>
      </c>
    </row>
    <row r="65" spans="16:16" x14ac:dyDescent="0.25">
      <c r="P65" s="19">
        <f t="shared" si="0"/>
        <v>0</v>
      </c>
    </row>
    <row r="66" spans="16:16" x14ac:dyDescent="0.25">
      <c r="P66" s="19">
        <f t="shared" si="0"/>
        <v>0</v>
      </c>
    </row>
    <row r="67" spans="16:16" x14ac:dyDescent="0.25">
      <c r="P67" s="19">
        <f t="shared" si="0"/>
        <v>0</v>
      </c>
    </row>
    <row r="68" spans="16:16" x14ac:dyDescent="0.25">
      <c r="P68" s="19">
        <f t="shared" si="0"/>
        <v>0</v>
      </c>
    </row>
    <row r="69" spans="16:16" x14ac:dyDescent="0.25">
      <c r="P69" s="19">
        <f t="shared" si="0"/>
        <v>0</v>
      </c>
    </row>
    <row r="70" spans="16:16" x14ac:dyDescent="0.25">
      <c r="P70" s="19">
        <f t="shared" si="0"/>
        <v>0</v>
      </c>
    </row>
    <row r="71" spans="16:16" x14ac:dyDescent="0.25">
      <c r="P71" s="19">
        <f t="shared" si="0"/>
        <v>0</v>
      </c>
    </row>
    <row r="72" spans="16:16" x14ac:dyDescent="0.25">
      <c r="P72" s="19">
        <f t="shared" ref="P72:P86" si="1">I72-M72</f>
        <v>0</v>
      </c>
    </row>
    <row r="73" spans="16:16" x14ac:dyDescent="0.25">
      <c r="P73" s="19">
        <f t="shared" si="1"/>
        <v>0</v>
      </c>
    </row>
    <row r="74" spans="16:16" x14ac:dyDescent="0.25">
      <c r="P74" s="19">
        <f t="shared" si="1"/>
        <v>0</v>
      </c>
    </row>
    <row r="75" spans="16:16" x14ac:dyDescent="0.25">
      <c r="P75" s="19">
        <f t="shared" si="1"/>
        <v>0</v>
      </c>
    </row>
    <row r="76" spans="16:16" x14ac:dyDescent="0.25">
      <c r="P76" s="19">
        <f t="shared" si="1"/>
        <v>0</v>
      </c>
    </row>
    <row r="77" spans="16:16" x14ac:dyDescent="0.25">
      <c r="P77" s="19">
        <f t="shared" si="1"/>
        <v>0</v>
      </c>
    </row>
    <row r="78" spans="16:16" x14ac:dyDescent="0.25">
      <c r="P78" s="19">
        <f t="shared" si="1"/>
        <v>0</v>
      </c>
    </row>
    <row r="79" spans="16:16" x14ac:dyDescent="0.25">
      <c r="P79" s="19">
        <f t="shared" si="1"/>
        <v>0</v>
      </c>
    </row>
    <row r="80" spans="16:16" x14ac:dyDescent="0.25">
      <c r="P80" s="19">
        <f t="shared" si="1"/>
        <v>0</v>
      </c>
    </row>
    <row r="81" spans="16:16" x14ac:dyDescent="0.25">
      <c r="P81" s="19">
        <f t="shared" si="1"/>
        <v>0</v>
      </c>
    </row>
    <row r="82" spans="16:16" x14ac:dyDescent="0.25">
      <c r="P82" s="19">
        <f t="shared" si="1"/>
        <v>0</v>
      </c>
    </row>
    <row r="83" spans="16:16" x14ac:dyDescent="0.25">
      <c r="P83" s="19">
        <f t="shared" si="1"/>
        <v>0</v>
      </c>
    </row>
    <row r="84" spans="16:16" x14ac:dyDescent="0.25">
      <c r="P84" s="19">
        <f t="shared" si="1"/>
        <v>0</v>
      </c>
    </row>
    <row r="85" spans="16:16" x14ac:dyDescent="0.25">
      <c r="P85" s="19">
        <f t="shared" si="1"/>
        <v>0</v>
      </c>
    </row>
    <row r="86" spans="16:16" x14ac:dyDescent="0.25">
      <c r="P86" s="19">
        <f t="shared" si="1"/>
        <v>0</v>
      </c>
    </row>
  </sheetData>
  <autoFilter ref="A6:T8" xr:uid="{00000000-0009-0000-0000-000000000000}"/>
  <phoneticPr fontId="2" type="noConversion"/>
  <dataValidations count="4">
    <dataValidation type="list" allowBlank="1" showInputMessage="1" showErrorMessage="1" sqref="Q7" xr:uid="{00000000-0002-0000-0000-000000000000}">
      <formula1>$Z$1:$Z$3</formula1>
    </dataValidation>
    <dataValidation type="list" allowBlank="1" showInputMessage="1" showErrorMessage="1" sqref="Q8:Q72" xr:uid="{00000000-0002-0000-0000-000001000000}">
      <formula1>$Z$1:$Z$2</formula1>
    </dataValidation>
    <dataValidation type="list" allowBlank="1" showInputMessage="1" showErrorMessage="1" sqref="R7:R42" xr:uid="{00000000-0002-0000-0000-000002000000}">
      <formula1>$Y$1:$Y$3</formula1>
    </dataValidation>
    <dataValidation type="list" allowBlank="1" showInputMessage="1" showErrorMessage="1" sqref="V7" xr:uid="{00000000-0002-0000-0000-000003000000}">
      <formula1>$AA$1:$AA$5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_invoice">
                <anchor moveWithCells="1">
                  <from>
                    <xdr:col>3</xdr:col>
                    <xdr:colOff>466725</xdr:colOff>
                    <xdr:row>1</xdr:row>
                    <xdr:rowOff>9525</xdr:rowOff>
                  </from>
                  <to>
                    <xdr:col>4</xdr:col>
                    <xdr:colOff>1352550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48"/>
  <sheetViews>
    <sheetView tabSelected="1" workbookViewId="0">
      <selection activeCell="B9" sqref="B9"/>
    </sheetView>
  </sheetViews>
  <sheetFormatPr defaultRowHeight="15" x14ac:dyDescent="0.25"/>
  <cols>
    <col min="1" max="1" width="19.42578125" style="8" customWidth="1"/>
    <col min="2" max="2" width="41.28515625" style="8" customWidth="1"/>
    <col min="3" max="3" width="14.42578125" style="8" customWidth="1"/>
    <col min="4" max="4" width="16.140625" style="12" customWidth="1"/>
    <col min="5" max="5" width="23.5703125" style="8" customWidth="1"/>
    <col min="6" max="6" width="27.7109375" style="8" customWidth="1"/>
    <col min="7" max="7" width="16.140625" style="13" customWidth="1"/>
    <col min="8" max="8" width="9.140625" style="8"/>
    <col min="9" max="9" width="6.5703125" style="8" customWidth="1"/>
    <col min="10" max="10" width="9.140625" style="8" hidden="1" customWidth="1"/>
    <col min="11" max="11" width="19.7109375" style="8" hidden="1" customWidth="1"/>
    <col min="12" max="15" width="9.140625" style="8" hidden="1" customWidth="1"/>
    <col min="16" max="16384" width="9.140625" style="8"/>
  </cols>
  <sheetData>
    <row r="1" spans="2:12" ht="79.5" customHeight="1" x14ac:dyDescent="0.25">
      <c r="C1" s="14"/>
      <c r="D1" s="37"/>
      <c r="E1" s="53" t="s">
        <v>42</v>
      </c>
      <c r="F1" s="54"/>
      <c r="G1" s="38"/>
      <c r="H1" s="14"/>
      <c r="I1" s="14"/>
      <c r="J1" s="9"/>
      <c r="K1" s="10"/>
      <c r="L1" s="11"/>
    </row>
    <row r="2" spans="2:12" ht="25.5" customHeight="1" x14ac:dyDescent="0.25">
      <c r="C2" s="14"/>
      <c r="D2" s="50" t="s">
        <v>1</v>
      </c>
      <c r="E2" s="51"/>
      <c r="F2" s="51"/>
      <c r="G2" s="52"/>
      <c r="H2" s="14"/>
      <c r="I2" s="14"/>
    </row>
    <row r="3" spans="2:12" x14ac:dyDescent="0.25">
      <c r="C3" s="14"/>
      <c r="D3" s="25"/>
      <c r="E3" s="21"/>
      <c r="F3" s="14"/>
      <c r="G3" s="26" t="s">
        <v>26</v>
      </c>
      <c r="H3" s="14"/>
      <c r="I3" s="14"/>
    </row>
    <row r="4" spans="2:12" x14ac:dyDescent="0.25">
      <c r="C4" s="14"/>
      <c r="D4" s="27"/>
      <c r="E4" s="14"/>
      <c r="F4" s="14"/>
      <c r="G4" s="28">
        <f>VLOOKUP(E6,Invoice_Data!B6:U1000,20,FALSE)</f>
        <v>43823</v>
      </c>
      <c r="H4" s="14"/>
      <c r="I4" s="14"/>
    </row>
    <row r="5" spans="2:12" ht="15.75" thickBot="1" x14ac:dyDescent="0.3">
      <c r="C5" s="14"/>
      <c r="D5" s="27"/>
      <c r="E5" s="14"/>
      <c r="F5" s="14"/>
      <c r="H5" s="14"/>
      <c r="I5" s="14"/>
    </row>
    <row r="6" spans="2:12" ht="15.75" thickBot="1" x14ac:dyDescent="0.3">
      <c r="B6" s="34" t="s">
        <v>38</v>
      </c>
      <c r="C6" s="35"/>
      <c r="D6" s="25" t="s">
        <v>39</v>
      </c>
      <c r="E6" s="21" t="s">
        <v>40</v>
      </c>
      <c r="F6" s="14"/>
      <c r="H6" s="14"/>
      <c r="I6" s="14"/>
    </row>
    <row r="7" spans="2:12" x14ac:dyDescent="0.25">
      <c r="C7" s="35"/>
      <c r="D7" s="27"/>
      <c r="E7" s="14"/>
      <c r="F7" s="14"/>
      <c r="H7" s="14"/>
      <c r="I7" s="14"/>
    </row>
    <row r="8" spans="2:12" x14ac:dyDescent="0.25">
      <c r="C8" s="35"/>
      <c r="D8" s="27"/>
      <c r="E8" s="14"/>
      <c r="F8" s="14"/>
      <c r="H8" s="14"/>
      <c r="I8" s="14"/>
    </row>
    <row r="9" spans="2:12" x14ac:dyDescent="0.25">
      <c r="C9" s="35"/>
      <c r="D9" s="25" t="s">
        <v>2</v>
      </c>
      <c r="E9" s="21" t="str">
        <f>VLOOKUP(E6,Invoice_Data!B6:T1000,2,FALSE)</f>
        <v>Rajitha Senadheera</v>
      </c>
      <c r="F9" s="20">
        <f>VLOOKUP(E6,Invoice_Data!B6:T1000,3,FALSE)</f>
        <v>778176329</v>
      </c>
      <c r="H9" s="14"/>
      <c r="I9" s="14"/>
    </row>
    <row r="10" spans="2:12" x14ac:dyDescent="0.25">
      <c r="C10" s="35"/>
      <c r="D10" s="25"/>
      <c r="E10" s="22" t="str">
        <f>VLOOKUP(E6,Invoice_Data!B6:S1000,4,FALSE)</f>
        <v>No.11/1 Godakalana</v>
      </c>
      <c r="F10" s="23"/>
      <c r="G10" s="13" t="s">
        <v>15</v>
      </c>
      <c r="H10" s="14"/>
      <c r="I10" s="14"/>
    </row>
    <row r="11" spans="2:12" x14ac:dyDescent="0.25">
      <c r="C11" s="35"/>
      <c r="D11" s="25"/>
      <c r="E11" s="22" t="str">
        <f>VLOOKUP(E6,Invoice_Data!B6:T1001,5,FALSE)</f>
        <v>Loluwagoda</v>
      </c>
      <c r="F11" s="14"/>
      <c r="H11" s="14"/>
      <c r="I11" s="14"/>
    </row>
    <row r="12" spans="2:12" x14ac:dyDescent="0.25">
      <c r="C12" s="35"/>
      <c r="D12" s="27"/>
      <c r="E12" s="14"/>
      <c r="F12" s="14"/>
      <c r="H12" s="14"/>
      <c r="I12" s="14"/>
    </row>
    <row r="13" spans="2:12" x14ac:dyDescent="0.25">
      <c r="C13" s="35"/>
      <c r="D13" s="27"/>
      <c r="E13" s="14"/>
      <c r="F13" s="14"/>
      <c r="H13" s="14"/>
      <c r="I13" s="14"/>
    </row>
    <row r="14" spans="2:12" x14ac:dyDescent="0.25">
      <c r="C14" s="14"/>
      <c r="D14" s="27"/>
      <c r="E14" s="14"/>
      <c r="F14" s="14"/>
      <c r="H14" s="14"/>
      <c r="I14" s="14"/>
    </row>
    <row r="15" spans="2:12" x14ac:dyDescent="0.25">
      <c r="C15" s="14"/>
      <c r="D15" s="40" t="s">
        <v>51</v>
      </c>
      <c r="E15" s="55" t="s">
        <v>35</v>
      </c>
      <c r="F15" s="56"/>
      <c r="G15" s="39" t="s">
        <v>43</v>
      </c>
      <c r="H15" s="14"/>
      <c r="I15" s="14"/>
    </row>
    <row r="16" spans="2:12" x14ac:dyDescent="0.25">
      <c r="C16" s="14"/>
      <c r="D16" s="45">
        <v>2</v>
      </c>
      <c r="E16" s="46" t="str">
        <f>VLOOKUP(E6,Invoice_Data!B6:S1000,7,FALSE)</f>
        <v>Redmi Note 8 (6/128)</v>
      </c>
      <c r="F16" s="47" t="s">
        <v>52</v>
      </c>
      <c r="G16" s="44">
        <f>VLOOKUP(E6,Invoice_Data!B6:T1000,8,FALSE)*D16</f>
        <v>99998</v>
      </c>
      <c r="H16" s="14"/>
      <c r="I16" s="14"/>
    </row>
    <row r="17" spans="3:9" x14ac:dyDescent="0.25">
      <c r="C17" s="14"/>
      <c r="D17" s="41"/>
      <c r="E17" s="27"/>
      <c r="F17" s="13"/>
      <c r="G17" s="41"/>
      <c r="H17" s="14"/>
      <c r="I17" s="14"/>
    </row>
    <row r="18" spans="3:9" x14ac:dyDescent="0.25">
      <c r="C18" s="14"/>
      <c r="D18" s="41"/>
      <c r="E18" s="27"/>
      <c r="F18" s="13"/>
      <c r="G18" s="41"/>
      <c r="H18" s="14"/>
      <c r="I18" s="14"/>
    </row>
    <row r="19" spans="3:9" x14ac:dyDescent="0.25">
      <c r="C19" s="14"/>
      <c r="D19" s="41"/>
      <c r="E19" s="27"/>
      <c r="F19" s="13"/>
      <c r="G19" s="41"/>
      <c r="H19" s="14"/>
      <c r="I19" s="14"/>
    </row>
    <row r="20" spans="3:9" x14ac:dyDescent="0.25">
      <c r="C20" s="14"/>
      <c r="D20" s="42"/>
      <c r="E20" s="43"/>
      <c r="F20" s="33"/>
      <c r="G20" s="42"/>
      <c r="H20" s="14"/>
      <c r="I20" s="14"/>
    </row>
    <row r="21" spans="3:9" x14ac:dyDescent="0.25">
      <c r="C21" s="14"/>
      <c r="D21" s="27"/>
      <c r="E21" s="24"/>
      <c r="F21" s="20" t="s">
        <v>17</v>
      </c>
      <c r="G21" s="29">
        <f>SUM(G16:G20)</f>
        <v>99998</v>
      </c>
      <c r="H21" s="14"/>
      <c r="I21" s="14"/>
    </row>
    <row r="22" spans="3:9" x14ac:dyDescent="0.25">
      <c r="C22" s="14"/>
      <c r="D22" s="27"/>
      <c r="E22" s="24"/>
      <c r="H22" s="14"/>
      <c r="I22" s="14"/>
    </row>
    <row r="23" spans="3:9" x14ac:dyDescent="0.25">
      <c r="C23" s="14"/>
      <c r="D23" s="27"/>
      <c r="E23" s="14"/>
      <c r="F23" s="20" t="s">
        <v>50</v>
      </c>
      <c r="G23" s="29">
        <f>VLOOKUP(E6,Invoice_Data!B6:T1000,12,FALSE)*D16</f>
        <v>9998</v>
      </c>
      <c r="H23" s="14"/>
      <c r="I23" s="14"/>
    </row>
    <row r="24" spans="3:9" x14ac:dyDescent="0.25">
      <c r="C24" s="14"/>
      <c r="D24" s="27"/>
      <c r="E24" s="14"/>
      <c r="F24" s="20"/>
      <c r="G24" s="29"/>
      <c r="H24" s="14"/>
      <c r="I24" s="14"/>
    </row>
    <row r="25" spans="3:9" ht="15.75" thickBot="1" x14ac:dyDescent="0.3">
      <c r="C25" s="14"/>
      <c r="D25" s="27"/>
      <c r="E25" s="14"/>
      <c r="F25" s="48" t="s">
        <v>3</v>
      </c>
      <c r="G25" s="49">
        <f>G21-G23+G24</f>
        <v>90000</v>
      </c>
      <c r="H25" s="36"/>
      <c r="I25" s="14"/>
    </row>
    <row r="26" spans="3:9" ht="15.75" thickTop="1" x14ac:dyDescent="0.25">
      <c r="C26" s="14"/>
      <c r="D26" s="27"/>
      <c r="E26" s="14"/>
      <c r="H26" s="14"/>
      <c r="I26" s="14"/>
    </row>
    <row r="27" spans="3:9" x14ac:dyDescent="0.25">
      <c r="C27" s="14"/>
      <c r="D27" s="27"/>
      <c r="E27" s="14"/>
      <c r="H27" s="14"/>
      <c r="I27" s="14"/>
    </row>
    <row r="28" spans="3:9" x14ac:dyDescent="0.25">
      <c r="C28" s="14"/>
      <c r="D28" s="27"/>
      <c r="E28" s="14"/>
      <c r="H28" s="14"/>
      <c r="I28" s="14"/>
    </row>
    <row r="29" spans="3:9" x14ac:dyDescent="0.25">
      <c r="C29" s="14"/>
      <c r="D29" s="27"/>
      <c r="E29" s="14"/>
      <c r="F29" s="14"/>
      <c r="G29" s="30"/>
      <c r="H29" s="14"/>
      <c r="I29" s="14"/>
    </row>
    <row r="30" spans="3:9" x14ac:dyDescent="0.25">
      <c r="C30" s="14"/>
      <c r="D30" s="27"/>
      <c r="E30" s="14"/>
      <c r="H30" s="14"/>
      <c r="I30" s="14"/>
    </row>
    <row r="31" spans="3:9" x14ac:dyDescent="0.25">
      <c r="C31" s="14"/>
      <c r="D31" s="27"/>
      <c r="E31" s="14"/>
      <c r="F31" s="24" t="s">
        <v>4</v>
      </c>
      <c r="H31" s="14"/>
      <c r="I31" s="14"/>
    </row>
    <row r="32" spans="3:9" x14ac:dyDescent="0.25">
      <c r="C32" s="14"/>
      <c r="D32" s="31"/>
      <c r="E32" s="32"/>
      <c r="F32" s="32"/>
      <c r="G32" s="33"/>
      <c r="H32" s="14"/>
      <c r="I32" s="14"/>
    </row>
    <row r="33" spans="3:9" x14ac:dyDescent="0.25">
      <c r="C33" s="14"/>
      <c r="D33" s="14"/>
      <c r="E33" s="14"/>
      <c r="F33" s="14"/>
      <c r="G33" s="14"/>
      <c r="H33" s="14"/>
      <c r="I33" s="14"/>
    </row>
    <row r="34" spans="3:9" x14ac:dyDescent="0.25">
      <c r="C34" s="14"/>
      <c r="D34" s="14"/>
      <c r="E34" s="14"/>
      <c r="F34" s="14"/>
      <c r="G34" s="14"/>
      <c r="H34" s="14"/>
      <c r="I34" s="14"/>
    </row>
    <row r="35" spans="3:9" x14ac:dyDescent="0.25">
      <c r="C35" s="14"/>
      <c r="D35" s="14"/>
      <c r="E35" s="14"/>
      <c r="F35" s="14"/>
      <c r="G35" s="14"/>
      <c r="H35" s="14"/>
      <c r="I35" s="14"/>
    </row>
    <row r="36" spans="3:9" x14ac:dyDescent="0.25">
      <c r="C36" s="14"/>
      <c r="D36" s="14"/>
      <c r="E36" s="14"/>
      <c r="F36" s="14"/>
      <c r="G36" s="14"/>
      <c r="H36" s="14"/>
      <c r="I36" s="14"/>
    </row>
    <row r="37" spans="3:9" x14ac:dyDescent="0.25">
      <c r="C37" s="14"/>
      <c r="D37" s="14"/>
      <c r="E37" s="14"/>
      <c r="F37" s="14"/>
      <c r="G37" s="14"/>
      <c r="H37" s="14"/>
      <c r="I37" s="14"/>
    </row>
    <row r="38" spans="3:9" x14ac:dyDescent="0.25">
      <c r="C38" s="14"/>
      <c r="D38" s="14"/>
      <c r="E38" s="14"/>
      <c r="F38" s="14"/>
      <c r="G38" s="14"/>
      <c r="H38" s="14"/>
    </row>
    <row r="39" spans="3:9" x14ac:dyDescent="0.25">
      <c r="C39" s="14"/>
      <c r="D39" s="14"/>
      <c r="E39" s="14"/>
      <c r="F39" s="14"/>
      <c r="G39" s="14"/>
      <c r="H39" s="14"/>
    </row>
    <row r="40" spans="3:9" x14ac:dyDescent="0.25">
      <c r="C40" s="14"/>
      <c r="D40" s="14"/>
      <c r="E40" s="14"/>
      <c r="F40" s="14"/>
      <c r="G40" s="14"/>
      <c r="H40" s="14"/>
    </row>
    <row r="41" spans="3:9" x14ac:dyDescent="0.25">
      <c r="C41" s="14"/>
      <c r="D41" s="14"/>
      <c r="E41" s="14"/>
      <c r="F41" s="14"/>
      <c r="G41" s="14"/>
      <c r="H41" s="14"/>
    </row>
    <row r="42" spans="3:9" x14ac:dyDescent="0.25">
      <c r="C42" s="14"/>
      <c r="D42" s="14"/>
      <c r="E42" s="14"/>
      <c r="F42" s="14"/>
      <c r="G42" s="14"/>
      <c r="H42" s="14"/>
    </row>
    <row r="43" spans="3:9" x14ac:dyDescent="0.25">
      <c r="C43" s="14"/>
      <c r="D43" s="14"/>
      <c r="E43" s="14"/>
      <c r="F43" s="14"/>
      <c r="G43" s="14"/>
      <c r="H43" s="14"/>
    </row>
    <row r="44" spans="3:9" x14ac:dyDescent="0.25">
      <c r="C44" s="14"/>
      <c r="D44" s="14"/>
      <c r="E44" s="14"/>
      <c r="F44" s="14"/>
      <c r="G44" s="14"/>
      <c r="H44" s="14"/>
    </row>
    <row r="45" spans="3:9" x14ac:dyDescent="0.25">
      <c r="C45" s="14"/>
      <c r="D45" s="14"/>
      <c r="E45" s="14"/>
      <c r="F45" s="14"/>
      <c r="G45" s="14"/>
      <c r="H45" s="14"/>
    </row>
    <row r="46" spans="3:9" x14ac:dyDescent="0.25">
      <c r="C46" s="14"/>
      <c r="D46" s="14"/>
      <c r="E46" s="14"/>
      <c r="F46" s="14"/>
      <c r="G46" s="14"/>
      <c r="H46" s="14"/>
    </row>
    <row r="47" spans="3:9" x14ac:dyDescent="0.25">
      <c r="C47" s="14"/>
      <c r="D47" s="14"/>
      <c r="E47" s="14"/>
      <c r="F47" s="14"/>
      <c r="G47" s="14"/>
      <c r="H47" s="14"/>
    </row>
    <row r="48" spans="3:9" x14ac:dyDescent="0.25">
      <c r="C48" s="14"/>
      <c r="D48" s="14"/>
      <c r="E48" s="14"/>
      <c r="F48" s="14"/>
      <c r="G48" s="14"/>
      <c r="H48" s="14"/>
    </row>
  </sheetData>
  <mergeCells count="3">
    <mergeCell ref="D2:G2"/>
    <mergeCell ref="E1:F1"/>
    <mergeCell ref="E15:F15"/>
  </mergeCells>
  <conditionalFormatting sqref="G29">
    <cfRule type="containsText" dxfId="1" priority="1" operator="containsText" text="Paid">
      <formula>NOT(ISERROR(SEARCH("Paid",G29)))</formula>
    </cfRule>
    <cfRule type="containsText" dxfId="0" priority="2" operator="containsText" text="Due">
      <formula>NOT(ISERROR(SEARCH("Due",G29)))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PrintasPDF">
                <anchor moveWithCells="1" sizeWithCells="1">
                  <from>
                    <xdr:col>1</xdr:col>
                    <xdr:colOff>57150</xdr:colOff>
                    <xdr:row>11</xdr:row>
                    <xdr:rowOff>171450</xdr:rowOff>
                  </from>
                  <to>
                    <xdr:col>1</xdr:col>
                    <xdr:colOff>2114550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GetFolder">
                <anchor moveWithCells="1">
                  <from>
                    <xdr:col>0</xdr:col>
                    <xdr:colOff>76200</xdr:colOff>
                    <xdr:row>4</xdr:row>
                    <xdr:rowOff>171450</xdr:rowOff>
                  </from>
                  <to>
                    <xdr:col>0</xdr:col>
                    <xdr:colOff>1266825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voice ID" error="Invoice not found in the list" xr:uid="{00000000-0002-0000-0100-000000000000}">
          <x14:formula1>
            <xm:f>Invoice_Data!$B$7:$B$1000</xm:f>
          </x14:formula1>
          <xm:sqref>E6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Invoice_Data</vt:lpstr>
      <vt:lpstr>Invoice_Template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Rajitha Senadheera</cp:lastModifiedBy>
  <cp:lastPrinted>2019-12-22T14:19:03Z</cp:lastPrinted>
  <dcterms:created xsi:type="dcterms:W3CDTF">2018-06-21T10:46:21Z</dcterms:created>
  <dcterms:modified xsi:type="dcterms:W3CDTF">2019-12-22T14:19:54Z</dcterms:modified>
</cp:coreProperties>
</file>